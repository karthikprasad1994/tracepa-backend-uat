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25e1410176bbe2e/Documents/auditor/ye 9.30.25/qe 13.31.24/"/>
    </mc:Choice>
  </mc:AlternateContent>
  <xr:revisionPtr revIDLastSave="0" documentId="8_{BB0132EC-150C-4BAA-BFD9-B36AB555696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fit and Los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3" i="1" l="1"/>
  <c r="B22" i="1"/>
  <c r="B21" i="1"/>
  <c r="B20" i="1"/>
  <c r="B18" i="1"/>
  <c r="B16" i="1"/>
  <c r="B17" i="1" s="1"/>
  <c r="B19" i="1" s="1"/>
  <c r="B14" i="1"/>
  <c r="B12" i="1"/>
  <c r="B11" i="1"/>
  <c r="B10" i="1"/>
  <c r="B9" i="1"/>
  <c r="B24" i="1" l="1"/>
  <c r="B25" i="1" s="1"/>
  <c r="B26" i="1" s="1"/>
</calcChain>
</file>

<file path=xl/sharedStrings.xml><?xml version="1.0" encoding="utf-8"?>
<sst xmlns="http://schemas.openxmlformats.org/spreadsheetml/2006/main" count="26" uniqueCount="26">
  <si>
    <t>Total</t>
  </si>
  <si>
    <t>Income</t>
  </si>
  <si>
    <t>Total Income</t>
  </si>
  <si>
    <t>Expenses</t>
  </si>
  <si>
    <t xml:space="preserve">   Bank Service Charges</t>
  </si>
  <si>
    <t xml:space="preserve">   License fee</t>
  </si>
  <si>
    <t xml:space="preserve">   Noncash Venture Capital Consulting</t>
  </si>
  <si>
    <t xml:space="preserve">   Offuce</t>
  </si>
  <si>
    <t xml:space="preserve">   Professional fees</t>
  </si>
  <si>
    <t xml:space="preserve">      Audit</t>
  </si>
  <si>
    <t xml:space="preserve">      Legal fees</t>
  </si>
  <si>
    <t xml:space="preserve">         Delaware</t>
  </si>
  <si>
    <t xml:space="preserve">      Total Legal fees</t>
  </si>
  <si>
    <t xml:space="preserve">      Share Transfer Agent</t>
  </si>
  <si>
    <t xml:space="preserve">   Total Professional fees</t>
  </si>
  <si>
    <t xml:space="preserve">   Public Entity Cost</t>
  </si>
  <si>
    <t xml:space="preserve">   Rent</t>
  </si>
  <si>
    <t xml:space="preserve">   Research</t>
  </si>
  <si>
    <t xml:space="preserve">   Venture Capital Consulting</t>
  </si>
  <si>
    <t>Total Expenses</t>
  </si>
  <si>
    <t>Net Operating Income</t>
  </si>
  <si>
    <t>Net Income</t>
  </si>
  <si>
    <t>Friday, Jan 17, 2025 06:22:36 PM GMT-8 - Accrual Basis</t>
  </si>
  <si>
    <t>Global innovative platforms, inc.</t>
  </si>
  <si>
    <t>Profit and Loss</t>
  </si>
  <si>
    <t>October - December,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</si>
</sst>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 _€"/>
    <numFmt numFmtId="165" formatCode="&quot;$&quot;* #,##0.00\ _€"/>
  </numFmts>
  <fonts count="6" x14ac:knownFonts="1">
    <font>
      <sz val="11"/>
      <color indexed="8"/>
      <name val="Aptos Narrow"/>
      <family val="2"/>
      <scheme val="minor"/>
    </font>
    <font>
      <b/>
      <sz val="9"/>
      <color indexed="8"/>
      <name val="Arial"/>
      <family val="2"/>
    </font>
    <font>
      <b/>
      <sz val="8"/>
      <color indexed="8"/>
      <name val="Arial"/>
      <family val="2"/>
    </font>
    <font>
      <sz val="8"/>
      <color indexed="8"/>
      <name val="Arial"/>
      <family val="2"/>
    </font>
    <font>
      <b/>
      <sz val="14"/>
      <color indexed="8"/>
      <name val="Arial"/>
      <family val="2"/>
    </font>
    <font>
      <b/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wrapText="1"/>
    </xf>
    <xf numFmtId="0" fontId="2" fillId="0" borderId="0" xfId="0" applyFont="1" applyAlignment="1">
      <alignment horizontal="left" wrapText="1"/>
    </xf>
    <xf numFmtId="164" fontId="3" fillId="0" borderId="0" xfId="0" applyNumberFormat="1" applyFont="1" applyAlignment="1">
      <alignment wrapText="1"/>
    </xf>
    <xf numFmtId="164" fontId="3" fillId="0" borderId="0" xfId="0" applyNumberFormat="1" applyFont="1" applyAlignment="1">
      <alignment horizontal="right" wrapText="1"/>
    </xf>
    <xf numFmtId="165" fontId="2" fillId="0" borderId="2" xfId="0" applyNumberFormat="1" applyFont="1" applyBorder="1" applyAlignment="1">
      <alignment horizontal="right" wrapText="1"/>
    </xf>
    <xf numFmtId="165" fontId="2" fillId="0" borderId="3" xfId="0" applyNumberFormat="1" applyFont="1" applyBorder="1" applyAlignment="1">
      <alignment horizontal="right" wrapText="1"/>
    </xf>
    <xf numFmtId="0" fontId="3" fillId="0" borderId="0" xfId="0" applyFont="1" applyAlignment="1">
      <alignment horizontal="center"/>
    </xf>
    <xf numFmtId="0" fontId="0" fillId="0" borderId="0" xfId="0"/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0"/>
  <sheetViews>
    <sheetView tabSelected="1" workbookViewId="0">
      <selection sqref="A1:B1"/>
    </sheetView>
  </sheetViews>
  <sheetFormatPr defaultRowHeight="14.4" x14ac:dyDescent="0.3"/>
  <cols>
    <col min="1" max="1" width="32.6640625" customWidth="1"/>
    <col min="2" max="2" width="29.21875" customWidth="1"/>
  </cols>
  <sheetData>
    <row r="1" spans="1:2" ht="17.399999999999999" x14ac:dyDescent="0.3">
      <c r="A1" s="10" t="s">
        <v>23</v>
      </c>
      <c r="B1" s="9"/>
    </row>
    <row r="2" spans="1:2" ht="17.399999999999999" x14ac:dyDescent="0.3">
      <c r="A2" s="10" t="s">
        <v>24</v>
      </c>
      <c r="B2" s="9"/>
    </row>
    <row r="3" spans="1:2" x14ac:dyDescent="0.3">
      <c r="A3" s="11" t="s">
        <v>25</v>
      </c>
      <c r="B3" s="9"/>
    </row>
    <row r="5" spans="1:2" x14ac:dyDescent="0.3">
      <c r="A5" s="1"/>
      <c r="B5" s="2" t="s">
        <v>0</v>
      </c>
    </row>
    <row r="6" spans="1:2" x14ac:dyDescent="0.3">
      <c r="A6" s="3" t="s">
        <v>1</v>
      </c>
      <c r="B6" s="4"/>
    </row>
    <row r="7" spans="1:2" x14ac:dyDescent="0.3">
      <c r="A7" s="3" t="s">
        <v>2</v>
      </c>
      <c r="B7" s="4"/>
    </row>
    <row r="8" spans="1:2" x14ac:dyDescent="0.3">
      <c r="A8" s="3" t="s">
        <v>3</v>
      </c>
      <c r="B8" s="4"/>
    </row>
    <row r="9" spans="1:2" x14ac:dyDescent="0.3">
      <c r="A9" s="3" t="s">
        <v>4</v>
      </c>
      <c r="B9" s="5">
        <f>-69.07</f>
        <v>-69.069999999999993</v>
      </c>
    </row>
    <row r="10" spans="1:2" x14ac:dyDescent="0.3">
      <c r="A10" s="3" t="s">
        <v>5</v>
      </c>
      <c r="B10" s="5">
        <f>26666.66</f>
        <v>26666.66</v>
      </c>
    </row>
    <row r="11" spans="1:2" x14ac:dyDescent="0.3">
      <c r="A11" s="3" t="s">
        <v>6</v>
      </c>
      <c r="B11" s="5">
        <f>1156</f>
        <v>1156</v>
      </c>
    </row>
    <row r="12" spans="1:2" x14ac:dyDescent="0.3">
      <c r="A12" s="3" t="s">
        <v>7</v>
      </c>
      <c r="B12" s="5">
        <f>420.44</f>
        <v>420.44</v>
      </c>
    </row>
    <row r="13" spans="1:2" x14ac:dyDescent="0.3">
      <c r="A13" s="3" t="s">
        <v>8</v>
      </c>
      <c r="B13" s="4"/>
    </row>
    <row r="14" spans="1:2" x14ac:dyDescent="0.3">
      <c r="A14" s="3" t="s">
        <v>9</v>
      </c>
      <c r="B14" s="5">
        <f>10000</f>
        <v>10000</v>
      </c>
    </row>
    <row r="15" spans="1:2" x14ac:dyDescent="0.3">
      <c r="A15" s="3" t="s">
        <v>10</v>
      </c>
      <c r="B15" s="4"/>
    </row>
    <row r="16" spans="1:2" x14ac:dyDescent="0.3">
      <c r="A16" s="3" t="s">
        <v>11</v>
      </c>
      <c r="B16" s="5">
        <f>559</f>
        <v>559</v>
      </c>
    </row>
    <row r="17" spans="1:2" x14ac:dyDescent="0.3">
      <c r="A17" s="3" t="s">
        <v>12</v>
      </c>
      <c r="B17" s="6">
        <f>(B15)+(B16)</f>
        <v>559</v>
      </c>
    </row>
    <row r="18" spans="1:2" x14ac:dyDescent="0.3">
      <c r="A18" s="3" t="s">
        <v>13</v>
      </c>
      <c r="B18" s="5">
        <f>680</f>
        <v>680</v>
      </c>
    </row>
    <row r="19" spans="1:2" x14ac:dyDescent="0.3">
      <c r="A19" s="3" t="s">
        <v>14</v>
      </c>
      <c r="B19" s="6">
        <f>(((B13)+(B14))+(B17))+(B18)</f>
        <v>11239</v>
      </c>
    </row>
    <row r="20" spans="1:2" x14ac:dyDescent="0.3">
      <c r="A20" s="3" t="s">
        <v>15</v>
      </c>
      <c r="B20" s="5">
        <f>2635</f>
        <v>2635</v>
      </c>
    </row>
    <row r="21" spans="1:2" x14ac:dyDescent="0.3">
      <c r="A21" s="3" t="s">
        <v>16</v>
      </c>
      <c r="B21" s="5">
        <f>4500</f>
        <v>4500</v>
      </c>
    </row>
    <row r="22" spans="1:2" x14ac:dyDescent="0.3">
      <c r="A22" s="3" t="s">
        <v>17</v>
      </c>
      <c r="B22" s="5">
        <f>7586.47</f>
        <v>7586.47</v>
      </c>
    </row>
    <row r="23" spans="1:2" x14ac:dyDescent="0.3">
      <c r="A23" s="3" t="s">
        <v>18</v>
      </c>
      <c r="B23" s="5">
        <f>66332</f>
        <v>66332</v>
      </c>
    </row>
    <row r="24" spans="1:2" x14ac:dyDescent="0.3">
      <c r="A24" s="3" t="s">
        <v>19</v>
      </c>
      <c r="B24" s="6">
        <f>((((((((B9)+(B10))+(B11))+(B12))+(B19))+(B20))+(B21))+(B22))+(B23)</f>
        <v>120466.5</v>
      </c>
    </row>
    <row r="25" spans="1:2" x14ac:dyDescent="0.3">
      <c r="A25" s="3" t="s">
        <v>20</v>
      </c>
      <c r="B25" s="6">
        <f>(B7)-(B24)</f>
        <v>-120466.5</v>
      </c>
    </row>
    <row r="26" spans="1:2" x14ac:dyDescent="0.3">
      <c r="A26" s="3" t="s">
        <v>21</v>
      </c>
      <c r="B26" s="7">
        <f>(B25)+(0)</f>
        <v>-120466.5</v>
      </c>
    </row>
    <row r="27" spans="1:2" x14ac:dyDescent="0.3">
      <c r="A27" s="3"/>
      <c r="B27" s="4"/>
    </row>
    <row r="30" spans="1:2" x14ac:dyDescent="0.3">
      <c r="A30" s="8" t="s">
        <v>22</v>
      </c>
      <c r="B30" s="9"/>
    </row>
  </sheetData>
  <mergeCells count="4">
    <mergeCell ref="A30:B30"/>
    <mergeCell ref="A1:B1"/>
    <mergeCell ref="A2:B2"/>
    <mergeCell ref="A3:B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Profit and Loss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matthew veal</cp:lastModifiedBy>
  <dcterms:created xsi:type="dcterms:W3CDTF">2025-01-18T02:22:36Z</dcterms:created>
  <dcterms:modified xsi:type="dcterms:W3CDTF">2025-01-18T02:23:20Z</dcterms:modified>
</cp:coreProperties>
</file>